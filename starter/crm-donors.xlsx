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סבר" sheetId="1" state="visible" r:id="rId1"/>
    <sheet name="תורמים" sheetId="2" state="visible" r:id="rId2"/>
    <sheet name="תרומות" sheetId="3" state="visible" r:id="rId3"/>
    <sheet name="הקדשות" sheetId="4" state="visible" r:id="rId4"/>
    <sheet name="שמות_לתפילה" sheetId="5" state="visible" r:id="rId5"/>
    <sheet name="קובץ_התאמה" sheetId="6" state="visible" r:id="rId6"/>
    <sheet name="סיכום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sz val="11"/>
    </font>
    <font>
      <name val="Arial"/>
      <b val="1"/>
      <color rgb="00FFFFFF"/>
      <sz val="11"/>
    </font>
    <font>
      <name val="Arial"/>
      <b val="1"/>
      <color rgb="007F6000"/>
      <sz val="11"/>
    </font>
    <font>
      <name val="Arial"/>
      <i val="1"/>
      <color rgb="00808080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rightToLeft="1"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מערכת ניהול תורמים — כולל חצות</t>
        </is>
      </c>
    </row>
    <row r="2">
      <c r="A2" s="2" t="inlineStr"/>
    </row>
    <row r="3">
      <c r="A3" s="2" t="inlineStr">
        <is>
          <t>חוברת התחלתית מסודרת. כל גיליון = טבלה אחת. אפשר להתחיל למלא כבר עכשיו.</t>
        </is>
      </c>
    </row>
    <row r="4">
      <c r="A4" s="2" t="inlineStr"/>
    </row>
    <row r="5">
      <c r="A5" s="2" t="inlineStr">
        <is>
          <t>הגיליונות:</t>
        </is>
      </c>
    </row>
    <row r="6">
      <c r="A6" s="2" t="inlineStr">
        <is>
          <t>• תורמים — כרטיס לכל תורם (שמות, קשר, דרגת קוויטל, תאריכים).</t>
        </is>
      </c>
    </row>
    <row r="7">
      <c r="A7" s="2" t="inlineStr">
        <is>
          <t>• תרומות — שורה לכל תרומה (כמה, מתי, ערוץ, סוג התרומה).</t>
        </is>
      </c>
    </row>
    <row r="8">
      <c r="A8" s="2" t="inlineStr">
        <is>
          <t>• הקדשות — הקדשות והנצחות לבניין / מקווה / פריט מוקדש.</t>
        </is>
      </c>
    </row>
    <row r="9">
      <c r="A9" s="2" t="inlineStr">
        <is>
          <t>• שמות_לתפילה — השמות שנמסרו לתפילה, ובאיזו דרגה.</t>
        </is>
      </c>
    </row>
    <row r="10">
      <c r="A10" s="2" t="inlineStr">
        <is>
          <t>• קובץ_התאמה — לייצוא חודשי: שתי העמודות הצהובות למילוי ידני של השם העברי.</t>
        </is>
      </c>
    </row>
    <row r="11">
      <c r="A11" s="2" t="inlineStr">
        <is>
          <t>• סיכום — ספירות אוטומטיות (מתעדכן לבד).</t>
        </is>
      </c>
    </row>
    <row r="12">
      <c r="A12" s="2" t="inlineStr"/>
    </row>
    <row r="13">
      <c r="A13" s="2" t="inlineStr">
        <is>
          <t>סימונים:</t>
        </is>
      </c>
    </row>
    <row r="14">
      <c r="A14" s="2" t="inlineStr">
        <is>
          <t>• כותרת כחולה = כותרת עמודה.</t>
        </is>
      </c>
    </row>
    <row r="15">
      <c r="A15" s="2" t="inlineStr">
        <is>
          <t>• תא צהוב = עמודה שאתה ממלא ידנית.</t>
        </is>
      </c>
    </row>
    <row r="16">
      <c r="A16" s="2" t="inlineStr">
        <is>
          <t>• השורה האפורה בכל גיליון = דוגמה בלבד. אפשר למחוק אותה ולמלא במקומה.</t>
        </is>
      </c>
    </row>
    <row r="17">
      <c r="A17" s="2" t="inlineStr"/>
    </row>
    <row r="18">
      <c r="A18" s="2" t="inlineStr">
        <is>
          <t>חיבור בין הגיליונות: כל תרומה/הקדשה/שם מקושרים לתורם דרך 'מזהה_תורם'</t>
        </is>
      </c>
    </row>
    <row r="19">
      <c r="A19" s="2" t="inlineStr">
        <is>
          <t>(למשל ת-000001). כך הכל מתחבר לאותו כרטיס.</t>
        </is>
      </c>
    </row>
    <row r="20">
      <c r="A20" s="2" t="inlineStr"/>
    </row>
    <row r="21">
      <c r="A21" s="2" t="inlineStr">
        <is>
          <t>להפקת קוויטל להדפסה: יש סקריפט בתיקיית tools (ראה README).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9" customWidth="1" min="3" max="3"/>
    <col width="19" customWidth="1" min="4" max="4"/>
    <col width="20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7" customWidth="1" min="11" max="11"/>
    <col width="19" customWidth="1" min="12" max="12"/>
    <col width="15" customWidth="1" min="13" max="13"/>
    <col width="13" customWidth="1" min="14" max="14"/>
    <col width="26" customWidth="1" min="15" max="15"/>
    <col width="21" customWidth="1" min="16" max="16"/>
    <col width="20" customWidth="1" min="17" max="17"/>
    <col width="12" customWidth="1" min="18" max="18"/>
    <col width="12" customWidth="1" min="19" max="19"/>
  </cols>
  <sheetData>
    <row r="1" ht="30" customHeight="1">
      <c r="A1" s="3" t="inlineStr">
        <is>
          <t>מזהה_תורם</t>
        </is>
      </c>
      <c r="B1" s="4" t="inlineStr">
        <is>
          <t>שם_פרטי_עברי</t>
        </is>
      </c>
      <c r="C1" s="4" t="inlineStr">
        <is>
          <t>שם_משפחה_עברי</t>
        </is>
      </c>
      <c r="D1" s="3" t="inlineStr">
        <is>
          <t>שם_פרטי_אנגלי</t>
        </is>
      </c>
      <c r="E1" s="3" t="inlineStr">
        <is>
          <t>שם_משפחה_אנגלי</t>
        </is>
      </c>
      <c r="F1" s="3" t="inlineStr">
        <is>
          <t>שם_עסק</t>
        </is>
      </c>
      <c r="G1" s="3" t="inlineStr">
        <is>
          <t>טלפון</t>
        </is>
      </c>
      <c r="H1" s="3" t="inlineStr">
        <is>
          <t>וואטסאפ</t>
        </is>
      </c>
      <c r="I1" s="3" t="inlineStr">
        <is>
          <t>אימייל</t>
        </is>
      </c>
      <c r="J1" s="3" t="inlineStr">
        <is>
          <t>כתובת</t>
        </is>
      </c>
      <c r="K1" s="3" t="inlineStr">
        <is>
          <t>דרגת_קוויטל</t>
        </is>
      </c>
      <c r="L1" s="3" t="inlineStr">
        <is>
          <t>תוויות_קוויטל</t>
        </is>
      </c>
      <c r="M1" s="3" t="inlineStr">
        <is>
          <t>יום_הולדת</t>
        </is>
      </c>
      <c r="N1" s="3" t="inlineStr">
        <is>
          <t>יארצייט</t>
        </is>
      </c>
      <c r="O1" s="3" t="inlineStr">
        <is>
          <t>תאריכי_תרומה_מועדפים</t>
        </is>
      </c>
      <c r="P1" s="3" t="inlineStr">
        <is>
          <t>קשר_אחרון_תאריך</t>
        </is>
      </c>
      <c r="Q1" s="3" t="inlineStr">
        <is>
          <t>קשר_אחרון_נושא</t>
        </is>
      </c>
      <c r="R1" s="3" t="inlineStr">
        <is>
          <t>תזכורת</t>
        </is>
      </c>
      <c r="S1" s="3" t="inlineStr">
        <is>
          <t>הערות</t>
        </is>
      </c>
    </row>
    <row r="2">
      <c r="A2" s="5" t="inlineStr">
        <is>
          <t>ת-000001</t>
        </is>
      </c>
      <c r="B2" s="5" t="inlineStr">
        <is>
          <t>ישראל</t>
        </is>
      </c>
      <c r="C2" s="5" t="inlineStr">
        <is>
          <t>כהן</t>
        </is>
      </c>
      <c r="D2" s="5" t="inlineStr">
        <is>
          <t>Israel</t>
        </is>
      </c>
      <c r="E2" s="5" t="inlineStr">
        <is>
          <t>Cohen</t>
        </is>
      </c>
      <c r="F2" s="5" t="inlineStr">
        <is>
          <t>Cohen Holdings LLC</t>
        </is>
      </c>
      <c r="G2" s="5" t="inlineStr">
        <is>
          <t>052-1234567</t>
        </is>
      </c>
      <c r="H2" s="5" t="inlineStr">
        <is>
          <t>כן</t>
        </is>
      </c>
      <c r="I2" s="5" t="inlineStr">
        <is>
          <t>israel@example.com</t>
        </is>
      </c>
      <c r="J2" s="5" t="inlineStr">
        <is>
          <t>רחוב הרב 5, ירושלים</t>
        </is>
      </c>
      <c r="K2" s="5" t="inlineStr">
        <is>
          <t>קוויטל_101</t>
        </is>
      </c>
      <c r="L2" s="5" t="inlineStr">
        <is>
          <t>קבוע; ותיק</t>
        </is>
      </c>
      <c r="M2" s="5" t="inlineStr">
        <is>
          <t>ט' בכסלו</t>
        </is>
      </c>
      <c r="N2" s="5" t="inlineStr">
        <is>
          <t>אב: ר' משה בן יעקב</t>
        </is>
      </c>
      <c r="O2" s="5" t="inlineStr">
        <is>
          <t>ערב ר"ח; פורים</t>
        </is>
      </c>
      <c r="P2" s="5" t="inlineStr">
        <is>
          <t>2026-07-20</t>
        </is>
      </c>
      <c r="Q2" s="5" t="inlineStr">
        <is>
          <t>עדכן שמות לרפואה</t>
        </is>
      </c>
      <c r="R2" s="5" t="inlineStr">
        <is>
          <t>להתקשר לפני החגים</t>
        </is>
      </c>
      <c r="S2" s="5" t="inlineStr"/>
    </row>
  </sheetData>
  <dataValidations count="1">
    <dataValidation sqref="K2:K500" showDropDown="0" showInputMessage="0" showErrorMessage="0" allowBlank="1" type="list">
      <formula1>"יששכר_זבולון,קוויטל_101,קוויטל_כללי,חד_פעמי"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0" customHeight="1">
      <c r="A1" s="3" t="inlineStr">
        <is>
          <t>מזהה_תרומה</t>
        </is>
      </c>
      <c r="B1" s="3" t="inlineStr">
        <is>
          <t>מזהה_תורם</t>
        </is>
      </c>
      <c r="C1" s="3" t="inlineStr">
        <is>
          <t>תאריך</t>
        </is>
      </c>
      <c r="D1" s="3" t="inlineStr">
        <is>
          <t>סכום</t>
        </is>
      </c>
      <c r="E1" s="3" t="inlineStr">
        <is>
          <t>מטבע</t>
        </is>
      </c>
      <c r="F1" s="3" t="inlineStr">
        <is>
          <t>ערוץ</t>
        </is>
      </c>
      <c r="G1" s="3" t="inlineStr">
        <is>
          <t>סוג_תרומה</t>
        </is>
      </c>
      <c r="H1" s="3" t="inlineStr">
        <is>
          <t>תדירות</t>
        </is>
      </c>
      <c r="I1" s="3" t="inlineStr">
        <is>
          <t>ייעוד</t>
        </is>
      </c>
      <c r="J1" s="3" t="inlineStr">
        <is>
          <t>בשם</t>
        </is>
      </c>
      <c r="K1" s="3" t="inlineStr">
        <is>
          <t>הערות</t>
        </is>
      </c>
    </row>
    <row r="2">
      <c r="A2" s="5" t="inlineStr">
        <is>
          <t>תר-000001</t>
        </is>
      </c>
      <c r="B2" s="5" t="inlineStr">
        <is>
          <t>ת-000001</t>
        </is>
      </c>
      <c r="C2" s="5" t="inlineStr">
        <is>
          <t>2026-07-01</t>
        </is>
      </c>
      <c r="D2" s="5" t="n">
        <v>180</v>
      </c>
      <c r="E2" s="5" t="inlineStr">
        <is>
          <t>USD</t>
        </is>
      </c>
      <c r="F2" s="5" t="inlineStr">
        <is>
          <t>נדרים_פלוס</t>
        </is>
      </c>
      <c r="G2" s="5" t="inlineStr">
        <is>
          <t>שותפות_חודשית</t>
        </is>
      </c>
      <c r="H2" s="5" t="inlineStr">
        <is>
          <t>חודשי</t>
        </is>
      </c>
      <c r="I2" s="5" t="inlineStr">
        <is>
          <t>קוויטל 101</t>
        </is>
      </c>
      <c r="J2" s="5" t="inlineStr">
        <is>
          <t>אדם</t>
        </is>
      </c>
      <c r="K2" s="5" t="inlineStr"/>
    </row>
  </sheetData>
  <dataValidations count="4">
    <dataValidation sqref="F2:F500" showDropDown="0" showInputMessage="0" showErrorMessage="0" allowBlank="1" type="list">
      <formula1>"אתר,נדרים_פלוס,בנק_ווסט,אותורייז,פידליטי,OJC,דונורס_פאנד,וואטסאפ,גימייל,צק,מזומן,העברה_בנקאית,זל,פייפאל,אחר"</formula1>
    </dataValidation>
    <dataValidation sqref="G2:G500" showDropDown="0" showInputMessage="0" showErrorMessage="0" allowBlank="1" type="list">
      <formula1>"שותפות_יששכר_זבולון,שותפות_חודשית,פרנס_יום,פרנס_המאור_שבועי,פרנס_חדר_קפה_שבועי,פרנס_חדר_קפה_יומי,ארוחות_בוקר,לימוד_לילה_לזכות,תרומה_לחגים,בניין_והקדשות,מנין_בן,מנין_101,כולל_חצות_כללי,חד_פעמי,אחר"</formula1>
    </dataValidation>
    <dataValidation sqref="H2:H500" showDropDown="0" showInputMessage="0" showErrorMessage="0" allowBlank="1" type="list">
      <formula1>"חד_פעמי,יומי,שבועי,חודשי,שנתי"</formula1>
    </dataValidation>
    <dataValidation sqref="J2:J500" showDropDown="0" showInputMessage="0" showErrorMessage="0" allowBlank="1" type="list">
      <formula1>"אדם,עסק"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6" customWidth="1" min="8" max="8"/>
    <col width="12" customWidth="1" min="9" max="9"/>
    <col width="12" customWidth="1" min="10" max="10"/>
  </cols>
  <sheetData>
    <row r="1" ht="30" customHeight="1">
      <c r="A1" s="3" t="inlineStr">
        <is>
          <t>מזהה_הקדשה</t>
        </is>
      </c>
      <c r="B1" s="3" t="inlineStr">
        <is>
          <t>מזהה_תורם</t>
        </is>
      </c>
      <c r="C1" s="3" t="inlineStr">
        <is>
          <t>פרויקט</t>
        </is>
      </c>
      <c r="D1" s="3" t="inlineStr">
        <is>
          <t>פריט</t>
        </is>
      </c>
      <c r="E1" s="3" t="inlineStr">
        <is>
          <t>סכום</t>
        </is>
      </c>
      <c r="F1" s="3" t="inlineStr">
        <is>
          <t>מטבע</t>
        </is>
      </c>
      <c r="G1" s="3" t="inlineStr">
        <is>
          <t>סוג_הנצחה</t>
        </is>
      </c>
      <c r="H1" s="3" t="inlineStr">
        <is>
          <t>נוסח_הנצחה</t>
        </is>
      </c>
      <c r="I1" s="3" t="inlineStr">
        <is>
          <t>תאריך</t>
        </is>
      </c>
      <c r="J1" s="3" t="inlineStr">
        <is>
          <t>הערות</t>
        </is>
      </c>
    </row>
    <row r="2">
      <c r="A2" s="5" t="inlineStr">
        <is>
          <t>הק-000001</t>
        </is>
      </c>
      <c r="B2" s="5" t="inlineStr">
        <is>
          <t>ת-000001</t>
        </is>
      </c>
      <c r="C2" s="5" t="inlineStr">
        <is>
          <t>בניין_בית_כנסת</t>
        </is>
      </c>
      <c r="D2" s="5" t="inlineStr">
        <is>
          <t>שולחן בית המדרש</t>
        </is>
      </c>
      <c r="E2" s="5" t="n">
        <v>10000</v>
      </c>
      <c r="F2" s="5" t="inlineStr">
        <is>
          <t>USD</t>
        </is>
      </c>
      <c r="G2" s="5" t="inlineStr">
        <is>
          <t>לזכר</t>
        </is>
      </c>
      <c r="H2" s="5" t="inlineStr">
        <is>
          <t>לע"נ ר' משה בן יעקב ז"ל</t>
        </is>
      </c>
      <c r="I2" s="5" t="inlineStr">
        <is>
          <t>2026-06-15</t>
        </is>
      </c>
      <c r="J2" s="5" t="inlineStr"/>
    </row>
  </sheetData>
  <dataValidations count="2">
    <dataValidation sqref="C2:C500" showDropDown="0" showInputMessage="0" showErrorMessage="0" allowBlank="1" type="list">
      <formula1>"בניין_בית_כנסת,מקווה,אחר"</formula1>
    </dataValidation>
    <dataValidation sqref="G2:G500" showDropDown="0" showInputMessage="0" showErrorMessage="0" allowBlank="1" type="list">
      <formula1>"לזכר,לזכות,לרפואת,אחר"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12" customWidth="1" min="4" max="4"/>
    <col width="12" customWidth="1" min="5" max="5"/>
    <col width="16" customWidth="1" min="6" max="6"/>
    <col width="19" customWidth="1" min="7" max="7"/>
    <col width="17" customWidth="1" min="8" max="8"/>
    <col width="13" customWidth="1" min="9" max="9"/>
    <col width="12" customWidth="1" min="10" max="10"/>
  </cols>
  <sheetData>
    <row r="1" ht="30" customHeight="1">
      <c r="A1" s="3" t="inlineStr">
        <is>
          <t>מזהה_שם</t>
        </is>
      </c>
      <c r="B1" s="3" t="inlineStr">
        <is>
          <t>מזהה_תורם</t>
        </is>
      </c>
      <c r="C1" s="3" t="inlineStr">
        <is>
          <t>מזהה_תרומה</t>
        </is>
      </c>
      <c r="D1" s="3" t="inlineStr">
        <is>
          <t>שמות</t>
        </is>
      </c>
      <c r="E1" s="3" t="inlineStr">
        <is>
          <t>בקשה</t>
        </is>
      </c>
      <c r="F1" s="3" t="inlineStr">
        <is>
          <t>דרגת_תפילה</t>
        </is>
      </c>
      <c r="G1" s="3" t="inlineStr">
        <is>
          <t>תוויות_קוויטל</t>
        </is>
      </c>
      <c r="H1" s="3" t="inlineStr">
        <is>
          <t>נכנס_בתאריך</t>
        </is>
      </c>
      <c r="I1" s="3" t="inlineStr">
        <is>
          <t>פעיל_עד</t>
        </is>
      </c>
      <c r="J1" s="3" t="inlineStr">
        <is>
          <t>הערות</t>
        </is>
      </c>
    </row>
    <row r="2">
      <c r="A2" s="5" t="inlineStr">
        <is>
          <t>שם-000001</t>
        </is>
      </c>
      <c r="B2" s="5" t="inlineStr">
        <is>
          <t>ת-000001</t>
        </is>
      </c>
      <c r="C2" s="5" t="inlineStr">
        <is>
          <t>תר-000001</t>
        </is>
      </c>
      <c r="D2" s="5" t="inlineStr">
        <is>
          <t>ישראל בן שרה</t>
        </is>
      </c>
      <c r="E2" s="5" t="inlineStr">
        <is>
          <t>רפואה שלמה</t>
        </is>
      </c>
      <c r="F2" s="5" t="inlineStr">
        <is>
          <t>קוויטל_101</t>
        </is>
      </c>
      <c r="G2" s="5" t="inlineStr">
        <is>
          <t>קבוע</t>
        </is>
      </c>
      <c r="H2" s="5" t="inlineStr">
        <is>
          <t>2026-07-01</t>
        </is>
      </c>
      <c r="I2" s="5" t="inlineStr"/>
      <c r="J2" s="5" t="inlineStr"/>
    </row>
  </sheetData>
  <dataValidations count="1">
    <dataValidation sqref="F2:F500" showDropDown="0" showInputMessage="0" showErrorMessage="0" allowBlank="1" type="list">
      <formula1>"יששכר_זבולון,קוויטל_101,קוויטל_כללי,חד_פעמי"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2" customWidth="1" min="3" max="3"/>
    <col width="12" customWidth="1" min="4" max="4"/>
    <col width="15" customWidth="1" min="5" max="5"/>
    <col width="17" customWidth="1" min="6" max="6"/>
    <col width="12" customWidth="1" min="7" max="7"/>
    <col width="12" customWidth="1" min="8" max="8"/>
    <col width="18" customWidth="1" min="9" max="9"/>
    <col width="19" customWidth="1" min="10" max="10"/>
  </cols>
  <sheetData>
    <row r="1" ht="30" customHeight="1">
      <c r="A1" s="3" t="inlineStr">
        <is>
          <t>מפתח_תורם</t>
        </is>
      </c>
      <c r="B1" s="3" t="inlineStr">
        <is>
          <t>שם_אנגלי</t>
        </is>
      </c>
      <c r="C1" s="3" t="inlineStr">
        <is>
          <t>שם_עסק</t>
        </is>
      </c>
      <c r="D1" s="3" t="inlineStr">
        <is>
          <t>ערוצים</t>
        </is>
      </c>
      <c r="E1" s="3" t="inlineStr">
        <is>
          <t>סכום_כולל</t>
        </is>
      </c>
      <c r="F1" s="3" t="inlineStr">
        <is>
          <t>מספר_תרומות</t>
        </is>
      </c>
      <c r="G1" s="3" t="inlineStr">
        <is>
          <t>אימייל</t>
        </is>
      </c>
      <c r="H1" s="3" t="inlineStr">
        <is>
          <t>טלפון</t>
        </is>
      </c>
      <c r="I1" s="4" t="inlineStr">
        <is>
          <t>שם פרטי עברי</t>
        </is>
      </c>
      <c r="J1" s="4" t="inlineStr">
        <is>
          <t>שם משפחה עברי</t>
        </is>
      </c>
    </row>
    <row r="2">
      <c r="A2" s="5" t="inlineStr">
        <is>
          <t>ת-000001</t>
        </is>
      </c>
      <c r="B2" s="5" t="inlineStr">
        <is>
          <t>Israel Cohen</t>
        </is>
      </c>
      <c r="C2" s="5" t="inlineStr">
        <is>
          <t>Cohen Holdings LLC</t>
        </is>
      </c>
      <c r="D2" s="5" t="inlineStr">
        <is>
          <t>נדרים_פלוס; אתר</t>
        </is>
      </c>
      <c r="E2" s="5" t="n">
        <v>360</v>
      </c>
      <c r="F2" s="5" t="n">
        <v>2</v>
      </c>
      <c r="G2" s="5" t="inlineStr">
        <is>
          <t>israel@example.com</t>
        </is>
      </c>
      <c r="H2" s="5" t="inlineStr">
        <is>
          <t>052-1234567</t>
        </is>
      </c>
      <c r="I2" s="5" t="inlineStr"/>
      <c r="J2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rightToLeft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" t="inlineStr">
        <is>
          <t>סיכום — מתעדכן אוטומטית</t>
        </is>
      </c>
    </row>
    <row r="3">
      <c r="A3" s="2" t="inlineStr">
        <is>
          <t>סה"כ תורמים</t>
        </is>
      </c>
      <c r="B3" s="2">
        <f>COUNTA(תורמים!A2:A100000)</f>
        <v/>
      </c>
    </row>
    <row r="4">
      <c r="A4" s="2" t="inlineStr">
        <is>
          <t>סה"כ תרומות (רשומות)</t>
        </is>
      </c>
      <c r="B4" s="2">
        <f>COUNTA(תרומות!A2:A100000)</f>
        <v/>
      </c>
    </row>
    <row r="5">
      <c r="A5" s="2" t="inlineStr">
        <is>
          <t>סכום תרומות כולל</t>
        </is>
      </c>
      <c r="B5" s="2">
        <f>SUM(תרומות!D2:D100000)</f>
        <v/>
      </c>
    </row>
    <row r="6">
      <c r="A6" s="2" t="inlineStr">
        <is>
          <t>סה"כ הקדשות</t>
        </is>
      </c>
      <c r="B6" s="2">
        <f>COUNTA(הקדשות!A2:A100000)</f>
        <v/>
      </c>
    </row>
    <row r="7">
      <c r="A7" s="2" t="inlineStr">
        <is>
          <t>סכום הקדשות כולל</t>
        </is>
      </c>
      <c r="B7" s="2">
        <f>SUM(הקדשות!E2:E100000)</f>
        <v/>
      </c>
    </row>
    <row r="8">
      <c r="A8" s="2" t="inlineStr">
        <is>
          <t>שמות לתפילה</t>
        </is>
      </c>
      <c r="B8" s="2">
        <f>COUNTA(שמות_לתפילה!A2:A100000)</f>
        <v/>
      </c>
    </row>
    <row r="9">
      <c r="A9" s="6" t="inlineStr">
        <is>
          <t>— לפי דרגת קוויטל —</t>
        </is>
      </c>
      <c r="B9" s="2" t="n"/>
    </row>
    <row r="10">
      <c r="A10" s="2" t="inlineStr">
        <is>
          <t>יששכר-זבולון</t>
        </is>
      </c>
      <c r="B10" s="2">
        <f>COUNTIF(תורמים!K2:K100000,"יששכר_זבולון")</f>
        <v/>
      </c>
    </row>
    <row r="11">
      <c r="A11" s="2" t="inlineStr">
        <is>
          <t>קוויטל 101</t>
        </is>
      </c>
      <c r="B11" s="2">
        <f>COUNTIF(תורמים!K2:K100000,"קוויטל_101")</f>
        <v/>
      </c>
    </row>
    <row r="12">
      <c r="A12" s="2" t="inlineStr">
        <is>
          <t>קוויטל כללי</t>
        </is>
      </c>
      <c r="B12" s="2">
        <f>COUNTIF(תורמים!K2:K100000,"קוויטל_כללי")</f>
        <v/>
      </c>
    </row>
    <row r="13">
      <c r="A13" s="2" t="inlineStr">
        <is>
          <t>חד-פעמי</t>
        </is>
      </c>
      <c r="B13" s="2">
        <f>COUNTIF(תורמים!K2:K100000,"חד_פעמי")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2026-07-27T10:07:35Z</dcterms:created>
  <dcterms:modified xsi:type="dcterms:W3CDTF">2026-07-27T10:07:35Z</dcterms:modified>
</cp:coreProperties>
</file>